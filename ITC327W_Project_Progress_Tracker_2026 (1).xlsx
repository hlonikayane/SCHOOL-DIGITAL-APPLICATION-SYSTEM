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8_{94567965-B4D6-406C-A9A0-55BDDBBB08B2}" xr6:coauthVersionLast="47" xr6:coauthVersionMax="47" xr10:uidLastSave="{00000000-0000-0000-0000-000000000000}"/>
  <bookViews>
    <workbookView xWindow="-120" yWindow="-120" windowWidth="29040" windowHeight="15720"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Phase Summary" sheetId="7" r:id="rId6"/>
    <sheet name="Challenges &amp; Actions" sheetId="6"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<sst xmlns="http://schemas.openxmlformats.org/spreadsheetml/2006/main" count="424" uniqueCount="264">
  <si>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</si>
  <si>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</si>
  <si>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</si>
  <si>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</si>
  <si>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</si>
  <si>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</si>
  <si>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</si>
  <si>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</si>
  <si>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</si>
  <si>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</si>
  <si>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</si>
  <si>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</si>
  <si>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</si>
  <si>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</si>
  <si>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</si>
  <si>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</si>
  <si>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</si>
  <si>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</si>
  <si>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</si>
  <si>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</si>
  <si>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</si>
  <si>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</si>
  <si>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</si>
  <si>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</si>
  <si>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</si>
  <si>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</si>
  <si>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</si>
  <si>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</si>
  <si>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</si>
  <si>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</si>
  <si>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</si>
  <si>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</si>
  <si>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</si>
  <si>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</si>
  <si>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</si>
  <si>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</si>
  <si>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</si>
  <si>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</si>
  <si>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</si>
  <si>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</si>
  <si>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</si>
  <si>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</si>
  <si>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</si>
  <si>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</si>
  <si>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</si>
  <si>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</si>
  <si>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</si>
  <si>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</si>
  <si>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</si>
  <si>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</si>
  <si>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</si>
  <si>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</si>
  <si>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</si>
  <si>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</si>
  <si>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</si>
  <si>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</si>
  <si>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</si>
  <si>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</si>
  <si>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</si>
  <si>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</si>
  <si>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</si>
  <si>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</si>
  <si>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</si>
  <si>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</si>
  <si>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</si>
  <si>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</si>
  <si>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</si>
  <si>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</si>
  <si>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</si>
  <si>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</si>
  <si>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</si>
  <si>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</si>
  <si>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t>
  </si>
  <si>
    <t>Start Date</t>
  </si>
  <si>
    <t>Due Date</t>
  </si>
  <si>
    <t>Status</t>
  </si>
  <si>
    <t>% Complete</t>
  </si>
  <si>
    <t>Evidence / Link</t>
  </si>
  <si>
    <t>Verified by Group</t>
  </si>
  <si>
    <t>Lecturer Comment</t>
  </si>
  <si>
    <t>Progress Flag</t>
  </si>
  <si>
    <t>U1-01</t>
  </si>
  <si>
    <t>Activity 1.1</t>
  </si>
  <si>
    <t>Identify and confirm the external stakeholder</t>
  </si>
  <si>
    <t>No</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</si>
  <si>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</si>
  <si>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</si>
  <si>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</si>
  <si>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</si>
  <si>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</si>
  <si>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</si>
  <si>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</si>
  <si>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</si>
  <si>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</si>
  <si>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</si>
  <si>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</si>
  <si>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</si>
  <si>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</si>
  <si>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</si>
  <si>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</si>
  <si>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</si>
  <si>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</si>
  <si>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</si>
  <si>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</si>
  <si>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</si>
  <si>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</si>
  <si>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</si>
  <si>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</si>
  <si>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</si>
  <si>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</si>
  <si>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</si>
  <si>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</si>
  <si>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</si>
  <si>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</si>
  <si>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</si>
  <si>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</si>
  <si>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</si>
  <si>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</si>
  <si>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</si>
  <si>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</si>
  <si>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</si>
  <si>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</si>
  <si>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</si>
  <si>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</si>
  <si>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</si>
  <si>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</si>
  <si>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</si>
  <si>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</si>
  <si>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</si>
  <si>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</si>
  <si>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</si>
  <si>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</si>
  <si>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</si>
  <si>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</si>
  <si>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</si>
  <si>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</si>
  <si>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</si>
  <si>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</si>
  <si>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</si>
  <si>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</si>
  <si>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</si>
  <si>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</si>
  <si>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</si>
  <si>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</si>
  <si>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</si>
  <si>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</si>
  <si>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</si>
  <si>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</si>
  <si>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</si>
  <si>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</si>
  <si>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</si>
  <si>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</si>
  <si>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</si>
  <si>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</si>
  <si>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</si>
  <si>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</si>
  <si>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</si>
  <si>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</si>
  <si>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</si>
  <si>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</si>
  <si>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</si>
  <si>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</si>
  <si>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</si>
  <si>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</si>
  <si>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</si>
  <si>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</si>
  <si>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</si>
  <si>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</si>
  <si>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</si>
  <si>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</si>
  <si>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</si>
  <si>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</si>
  <si>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Group 5</t>
  </si>
  <si>
    <t>Lenyora Primary School Digital Application System</t>
  </si>
  <si>
    <t>Lenyora Primary School</t>
  </si>
  <si>
    <t>Mr. T. Mokoduwe</t>
  </si>
  <si>
    <t>Coordinating schedules for the stakeholder interview and gathering complete subject listings per grade from the school administration.</t>
  </si>
  <si>
    <t>Begin system architecture design, UML diagrams, and database schema development for Phase 2</t>
  </si>
  <si>
    <t>Project Lead / Stakeholder Contact</t>
  </si>
  <si>
    <t>Identified and confirmed stakeholder. Organized the meeting and obtained signed agreement.</t>
  </si>
  <si>
    <t>Yes</t>
  </si>
  <si>
    <t>25/08/2026</t>
  </si>
  <si>
    <t>Microsoft Project Schedule</t>
  </si>
  <si>
    <t>20/08/2026</t>
  </si>
  <si>
    <t>-</t>
  </si>
  <si>
    <t>L. Kayane</t>
  </si>
  <si>
    <t>Interview Preparation</t>
  </si>
  <si>
    <t>SRS Review</t>
  </si>
  <si>
    <t>G.D. Sekhula</t>
  </si>
  <si>
    <t>Process Documentation</t>
  </si>
  <si>
    <t>18/08/2026</t>
  </si>
  <si>
    <t>T.H. Mosia</t>
  </si>
  <si>
    <t>Define project objectives</t>
  </si>
  <si>
    <t>All Members</t>
  </si>
  <si>
    <t>GitHub Repository</t>
  </si>
  <si>
    <t>Created and configured GitHub repository. Added README, invited members, and set up documentation folder.</t>
  </si>
  <si>
    <t>Progress Workbook</t>
  </si>
  <si>
    <t>Completed the Project Progress Workbook with all project details and evidence links.</t>
  </si>
  <si>
    <t>21/08/2026</t>
  </si>
  <si>
    <t>24/08/2026</t>
  </si>
  <si>
    <t>26/08/2026</t>
  </si>
  <si>
    <t>Resolved</t>
  </si>
  <si>
    <t>Group member had technical issues with GitHub repository access.</t>
  </si>
  <si>
    <t>Temporary block on collaborative work.</t>
  </si>
  <si>
    <t>Re-sent invitation links and provided GitHub setup documentation. Verified access resolved.</t>
  </si>
  <si>
    <t>19/08/2026</t>
  </si>
  <si>
    <t>Misunderstanding about SRS formatting and structure requirements.</t>
  </si>
  <si>
    <t>Required additional time to reformat document.</t>
  </si>
  <si>
    <t>N/A</t>
  </si>
  <si>
    <t>No major participation concerns. All group members actively contributed to their assigned tasks. Good communication and collaboration observed throughout the phase.</t>
  </si>
  <si>
    <t>Earlier scheduling of technical tasks to allow buffer time
More proactive stakeholder follow-up</t>
  </si>
  <si>
    <t>School Digital Application System</t>
  </si>
  <si>
    <t>Implement more proactive stakeholder communication - Schedule regular checkpoints (weekly brief updates) to ensure alignment and prevent last-minute information requests.</t>
  </si>
  <si>
    <t>Successfully completed and confirmed initial SRS with stakeholder approval. Conducted stakeholder interview. Established GitHub repository and Supabase project.</t>
  </si>
  <si>
    <t>Phase 1</t>
  </si>
  <si>
    <t>M.N Matla</t>
  </si>
  <si>
    <t>Created the initial Microsoft Project schedule with all tasks, and timeline.</t>
  </si>
  <si>
    <t>SRS Preparation</t>
  </si>
  <si>
    <t>Prepared stakeholder interview questions.</t>
  </si>
  <si>
    <t>Documented the current manual process and problem statement.</t>
  </si>
  <si>
    <t>Drafted project aim, objectives, and scope sections of SRS</t>
  </si>
  <si>
    <t>Conduct Interview</t>
  </si>
  <si>
    <t>Explained the purpose of the interview, asked questions, and recorded the stakeholder's responses.</t>
  </si>
  <si>
    <t>Prepared the SRS sections</t>
  </si>
  <si>
    <t>S.M Nkosi</t>
  </si>
  <si>
    <t>Supabase Creation</t>
  </si>
  <si>
    <t>Created Supabase project.</t>
  </si>
  <si>
    <t>Confirmed stakeholder and obtain letter of agreement.</t>
  </si>
  <si>
    <t>Head of department, Lenyora Primary School</t>
  </si>
  <si>
    <t>School confirmed the need for a digital application system. Key features needed:  online applications, announcements, subject listings, and status tracking.</t>
  </si>
  <si>
    <t>Document the current process and problem statement.</t>
  </si>
  <si>
    <t xml:space="preserve"> Phase 1</t>
  </si>
  <si>
    <t>Site Visit</t>
  </si>
  <si>
    <t>Meeting</t>
  </si>
  <si>
    <t>Gather detailed requirements for the system. Understand stakeholder's needs.</t>
  </si>
  <si>
    <t>Head of Department, Lenyora Primary School</t>
  </si>
  <si>
    <t xml:space="preserve">Parents miss the opening and closing dates for the applications. Parents frequently ask about subjects per grade. Paper forms are often lost. </t>
  </si>
  <si>
    <t>Preparing the SRS documentation</t>
  </si>
  <si>
    <t>Our first stakeholder's needs did not align with our project requirements as per the module.</t>
  </si>
  <si>
    <t>Slight delay in scheduling a meeting with the new stakeholder to collect the requirements.</t>
  </si>
  <si>
    <t>Managed to schedule the meeting.</t>
  </si>
  <si>
    <t>All members</t>
  </si>
  <si>
    <t>Reviewed sample SRS documents. Reorganized document structure accordingly.</t>
  </si>
  <si>
    <t>S.M. Nkosi, G.D Sekhula</t>
  </si>
  <si>
    <t>Used the online microsoft project for scheduling instead of the project professional app.</t>
  </si>
  <si>
    <t>It was a slight setback as it took too much time to start the new one on the app.</t>
  </si>
  <si>
    <t>We started scheduling using the project professional app.</t>
  </si>
  <si>
    <t>T.H Mosia, M.N Matla</t>
  </si>
  <si>
    <t>Successfully identified and confirmed the external stakeholder (Lenyora Primary School)
Conducted stakeholder interview and documented findings
Defined project aim, objectives, and scope
Completed the initial SRS document
Created initial Microsoft Project schedule
Set up GitHub repository with all group members
Created initial Supabase project
Completed the progress workbook and individual contribution records
Completed group reflection</t>
  </si>
  <si>
    <t>NONE</t>
  </si>
  <si>
    <t xml:space="preserve">Stakeholder engagement and agreement.
SRS compilation.
Supabase setup and GitHub configuration.
</t>
  </si>
  <si>
    <t>The most important learning was understanding the critical importance of effective stakeholder engagement. The interview with the head of department revealed that despite having basic technology infrastructure, the school's processes were still heavily manual. We learned that successful systems require not just good code, but deep understanding of user needs and organizational workflows.</t>
  </si>
  <si>
    <t>Stakeholder meeting went well because we prepared thoroughly, developed relevant interview questions, and the stakeholder's responses were clear.</t>
  </si>
  <si>
    <t>Gathering the project requirements due to changing our stakeholder.</t>
  </si>
  <si>
    <t>M.N Matla(Project Lead): Stakeholder management.
L. Kayane :Created Github and Supabase.
G.D. Sekhula:Prepared interview questions.                                                T.H. Mosia: Created microsoft project.
S.M Nkosi: Documented processes and problem statement</t>
  </si>
  <si>
    <t>Yes, all members contributed fairly and consistently. Each member completed their assigned responsibilities on time and participated actively in group discussions and meetings.</t>
  </si>
  <si>
    <t>We worked tirelessly to ensure that we make up for lost time.</t>
  </si>
  <si>
    <t>Application processing is currently a major administrative burden for school staff
Trust and reliability are crucial - the system must work consistently and be simple to use</t>
  </si>
  <si>
    <t>Implement more proactive stakeholder communication - Schedule regular checkpoint to ensure alignment and prevent last-minute information requests.</t>
  </si>
  <si>
    <t>17/08/2026</t>
  </si>
  <si>
    <t>Completed Group Reflection</t>
  </si>
  <si>
    <t>Completed the group reflection</t>
  </si>
  <si>
    <t>17 August 2026 - 26 August 2026</t>
  </si>
  <si>
    <t>Completed the SRS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</si>
</sst>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8"/>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7">
    <xf numFmtId="0" fontId="0" fillId="0" borderId="0" xfId="0"/>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4" fillId="4" borderId="3" xfId="0" applyNumberFormat="1" applyFont="1" applyFill="1" applyBorder="1" applyAlignment="1">
      <alignment horizontal="left" vertical="center" wrapText="1"/>
    </xf>
    <xf numFmtId="0" fontId="0" fillId="0" borderId="4" xfId="0" applyNumberFormat="1" applyFont="1" applyFill="1" applyBorder="1" applyAlignment="1">
      <alignment wrapText="1"/>
    </xf>
    <xf numFmtId="0" fontId="4" fillId="4" borderId="5" xfId="0" applyNumberFormat="1" applyFont="1" applyFill="1" applyBorder="1" applyAlignment="1">
      <alignment horizontal="left" vertical="center" wrapText="1"/>
    </xf>
    <xf numFmtId="0" fontId="0" fillId="0" borderId="6" xfId="0" applyNumberFormat="1" applyFont="1" applyFill="1" applyBorder="1" applyAlignment="1">
      <alignment wrapText="1"/>
    </xf>
    <xf numFmtId="0" fontId="5" fillId="6" borderId="4" xfId="0" applyNumberFormat="1"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NumberFormat="1" applyFont="1" applyFill="1" applyBorder="1" applyAlignment="1">
      <alignment vertical="top" wrapText="1"/>
    </xf>
    <xf numFmtId="0" fontId="0" fillId="0" borderId="4" xfId="0" applyNumberFormat="1" applyFont="1" applyFill="1" applyBorder="1" applyAlignment="1">
      <alignment horizontal="center"/>
    </xf>
    <xf numFmtId="0" fontId="0" fillId="0" borderId="6" xfId="0" applyNumberFormat="1" applyFont="1" applyFill="1" applyBorder="1" applyAlignment="1">
      <alignment horizontal="center"/>
    </xf>
    <xf numFmtId="0" fontId="0" fillId="0" borderId="0" xfId="0" applyNumberFormat="1" applyFont="1" applyFill="1" applyBorder="1" applyAlignment="1">
      <alignment vertical="top" wrapText="1"/>
    </xf>
    <xf numFmtId="165" fontId="0" fillId="0" borderId="0" xfId="0" applyNumberFormat="1" applyFont="1" applyFill="1" applyBorder="1" applyAlignment="1">
      <alignment vertical="top" wrapText="1"/>
    </xf>
    <xf numFmtId="166" fontId="0" fillId="0" borderId="0" xfId="0" applyNumberFormat="1" applyFont="1" applyFill="1" applyBorder="1" applyAlignment="1">
      <alignment vertical="top" wrapText="1"/>
    </xf>
    <xf numFmtId="0" fontId="3" fillId="2" borderId="7" xfId="0" applyNumberFormat="1" applyFont="1" applyFill="1" applyBorder="1" applyAlignment="1">
      <alignment horizontal="center" vertical="center" wrapText="1"/>
    </xf>
    <xf numFmtId="0" fontId="0" fillId="0" borderId="3" xfId="0" applyNumberFormat="1" applyFont="1" applyFill="1" applyBorder="1" applyAlignment="1">
      <alignment vertical="top" wrapText="1"/>
    </xf>
    <xf numFmtId="0" fontId="0" fillId="0" borderId="4"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8" xfId="0" applyNumberFormat="1" applyFont="1" applyFill="1" applyBorder="1" applyAlignment="1">
      <alignment vertical="top" wrapText="1"/>
    </xf>
    <xf numFmtId="165" fontId="0" fillId="0" borderId="8" xfId="0" applyNumberFormat="1" applyFont="1" applyFill="1" applyBorder="1" applyAlignment="1">
      <alignment vertical="top" wrapText="1"/>
    </xf>
    <xf numFmtId="166" fontId="0" fillId="0" borderId="8" xfId="0" applyNumberFormat="1" applyFont="1" applyFill="1" applyBorder="1" applyAlignment="1">
      <alignment vertical="top" wrapText="1"/>
    </xf>
    <xf numFmtId="0" fontId="0" fillId="0" borderId="6" xfId="0" applyNumberFormat="1" applyFont="1" applyFill="1" applyBorder="1" applyAlignment="1">
      <alignment vertical="top" wrapText="1"/>
    </xf>
    <xf numFmtId="167" fontId="0" fillId="0" borderId="0" xfId="0" applyNumberFormat="1" applyFont="1" applyFill="1" applyBorder="1" applyAlignment="1">
      <alignment vertical="top" wrapText="1"/>
    </xf>
    <xf numFmtId="167" fontId="0" fillId="0" borderId="8" xfId="0" applyNumberFormat="1" applyFont="1" applyFill="1" applyBorder="1" applyAlignment="1">
      <alignment vertical="top" wrapText="1"/>
    </xf>
    <xf numFmtId="165" fontId="0" fillId="0" borderId="3" xfId="0" applyNumberFormat="1" applyFont="1" applyFill="1" applyBorder="1" applyAlignment="1">
      <alignment vertical="top" wrapText="1"/>
    </xf>
    <xf numFmtId="165" fontId="0" fillId="0" borderId="5" xfId="0" applyNumberFormat="1" applyFont="1" applyFill="1" applyBorder="1" applyAlignment="1">
      <alignment vertical="top" wrapText="1"/>
    </xf>
    <xf numFmtId="0" fontId="0" fillId="0" borderId="4" xfId="0" applyNumberFormat="1" applyFont="1" applyFill="1" applyBorder="1"/>
    <xf numFmtId="0" fontId="0" fillId="0" borderId="6" xfId="0" applyNumberFormat="1" applyFont="1" applyFill="1" applyBorder="1"/>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vertical="top" wrapText="1"/>
    </xf>
    <xf numFmtId="0" fontId="3" fillId="5" borderId="1" xfId="0" applyNumberFormat="1" applyFont="1" applyFill="1" applyBorder="1" applyAlignment="1">
      <alignment horizontal="left" vertical="center"/>
    </xf>
    <xf numFmtId="0" fontId="3" fillId="5" borderId="2" xfId="0" applyNumberFormat="1" applyFont="1" applyFill="1" applyBorder="1" applyAlignment="1">
      <alignment horizontal="left" vertical="center"/>
    </xf>
    <xf numFmtId="0" fontId="3" fillId="5" borderId="0" xfId="0" applyNumberFormat="1" applyFont="1" applyFill="1" applyBorder="1" applyAlignment="1">
      <alignment horizontal="left" vertical="center"/>
    </xf>
    <xf numFmtId="0" fontId="3" fillId="2" borderId="1" xfId="0" applyNumberFormat="1" applyFont="1" applyFill="1" applyBorder="1" applyAlignment="1">
      <alignment horizontal="center" vertical="center" wrapText="1"/>
    </xf>
    <xf numFmtId="0" fontId="3" fillId="2" borderId="2" xfId="0" applyNumberFormat="1" applyFont="1" applyFill="1" applyBorder="1" applyAlignment="1">
      <alignment horizontal="center" vertical="center" wrapText="1"/>
    </xf>
    <xf numFmtId="0" fontId="3" fillId="2" borderId="0" xfId="0" applyNumberFormat="1" applyFont="1" applyFill="1" applyBorder="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11</c:v>
                </c:pt>
                <c:pt idx="1">
                  <c:v>0</c:v>
                </c:pt>
                <c:pt idx="2">
                  <c:v>0</c:v>
                </c:pt>
                <c:pt idx="3">
                  <c:v>0</c:v>
                </c:pt>
                <c:pt idx="4">
                  <c:v>0</c:v>
                </c:pt>
                <c:pt idx="5">
                  <c:v>0</c:v>
                </c:pt>
              </c:numCache>
            </c:numRef>
          </c:val>
          <c:extLst>
            <c:ext xmlns:c16="http://schemas.microsoft.com/office/drawing/2014/chart" uri="{C3380CC4-5D6E-409C-BE32-E72D297353CC}">
              <c16:uniqueId val="{00000000-57D5-4663-8B72-903F4F5C5D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19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99">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99">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abSelected="1" workbookViewId="0">
      <selection activeCell="A3" sqref="A3:H3"/>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30" customHeight="1">
      <c r="A1" s="29" t="s">
        <v>0</v>
      </c>
      <c r="B1" s="29"/>
      <c r="C1" s="29"/>
      <c r="D1" s="29"/>
      <c r="E1" s="29"/>
      <c r="F1" s="29"/>
      <c r="G1" s="29"/>
      <c r="H1" s="29"/>
    </row>
    <row r="3" spans="1:8" ht="42" customHeight="1">
      <c r="A3" s="30" t="s">
        <v>1</v>
      </c>
      <c r="B3" s="30"/>
      <c r="C3" s="30"/>
      <c r="D3" s="30"/>
      <c r="E3" s="30"/>
      <c r="F3" s="30"/>
      <c r="G3" s="30"/>
      <c r="H3" s="30"/>
    </row>
    <row r="5" spans="1:8" ht="15">
      <c r="A5" s="1" t="s">
        <v>2</v>
      </c>
      <c r="B5" s="2" t="s">
        <v>3</v>
      </c>
      <c r="D5" s="31" t="s">
        <v>4</v>
      </c>
      <c r="E5" s="32"/>
      <c r="F5" s="33"/>
      <c r="G5" s="33"/>
      <c r="H5" s="33"/>
    </row>
    <row r="6" spans="1:8" ht="33.950000000000003" customHeight="1">
      <c r="A6" s="3" t="s">
        <v>5</v>
      </c>
      <c r="B6" s="4" t="s">
        <v>6</v>
      </c>
      <c r="D6" s="3" t="s">
        <v>7</v>
      </c>
      <c r="E6" s="4" t="s">
        <v>8</v>
      </c>
    </row>
    <row r="7" spans="1:8" ht="33.950000000000003" customHeight="1">
      <c r="A7" s="3" t="s">
        <v>9</v>
      </c>
      <c r="B7" s="4" t="s">
        <v>10</v>
      </c>
      <c r="D7" s="3" t="s">
        <v>11</v>
      </c>
      <c r="E7" s="4" t="s">
        <v>12</v>
      </c>
    </row>
    <row r="8" spans="1:8" ht="33.950000000000003" customHeight="1">
      <c r="A8" s="3" t="s">
        <v>13</v>
      </c>
      <c r="B8" s="4" t="s">
        <v>14</v>
      </c>
      <c r="D8" s="3" t="s">
        <v>15</v>
      </c>
      <c r="E8" s="4" t="s">
        <v>16</v>
      </c>
    </row>
    <row r="9" spans="1:8" ht="33.950000000000003" customHeight="1">
      <c r="A9" s="3" t="s">
        <v>17</v>
      </c>
      <c r="B9" s="4" t="s">
        <v>18</v>
      </c>
      <c r="D9" s="3" t="s">
        <v>19</v>
      </c>
      <c r="E9" s="4" t="s">
        <v>20</v>
      </c>
    </row>
    <row r="10" spans="1:8" ht="33.950000000000003" customHeight="1">
      <c r="A10" s="3" t="s">
        <v>21</v>
      </c>
      <c r="B10" s="4" t="s">
        <v>22</v>
      </c>
      <c r="D10" s="3" t="s">
        <v>23</v>
      </c>
      <c r="E10" s="4" t="s">
        <v>24</v>
      </c>
    </row>
    <row r="11" spans="1:8" ht="33.950000000000003" customHeight="1">
      <c r="A11" s="3" t="s">
        <v>25</v>
      </c>
      <c r="B11" s="4" t="s">
        <v>26</v>
      </c>
      <c r="D11" s="5" t="s">
        <v>27</v>
      </c>
      <c r="E11" s="6" t="s">
        <v>28</v>
      </c>
    </row>
    <row r="12" spans="1:8" ht="28.5">
      <c r="A12" s="5" t="s">
        <v>29</v>
      </c>
      <c r="B12" s="6" t="s">
        <v>30</v>
      </c>
    </row>
    <row r="13" spans="1:8" ht="15">
      <c r="D13" s="31" t="s">
        <v>31</v>
      </c>
      <c r="E13" s="32"/>
      <c r="F13" s="33"/>
      <c r="G13" s="33"/>
      <c r="H13" s="33"/>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13" sqref="B13"/>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30" customHeight="1">
      <c r="A1" s="29" t="s">
        <v>40</v>
      </c>
      <c r="B1" s="29"/>
      <c r="C1" s="29"/>
      <c r="D1" s="29"/>
      <c r="E1" s="29"/>
      <c r="F1" s="29"/>
      <c r="G1" s="29"/>
      <c r="H1" s="29"/>
      <c r="I1" s="29"/>
      <c r="J1" s="29"/>
      <c r="K1" s="29"/>
      <c r="L1" s="29"/>
    </row>
    <row r="3" spans="1:12" ht="15">
      <c r="A3" s="1" t="s">
        <v>41</v>
      </c>
      <c r="B3" s="2" t="s">
        <v>42</v>
      </c>
      <c r="F3" s="1" t="s">
        <v>43</v>
      </c>
      <c r="G3" s="2" t="s">
        <v>44</v>
      </c>
    </row>
    <row r="4" spans="1:12" ht="27.95" customHeight="1">
      <c r="A4" s="3" t="s">
        <v>45</v>
      </c>
      <c r="B4" s="7" t="s">
        <v>172</v>
      </c>
      <c r="F4" s="3" t="s">
        <v>46</v>
      </c>
      <c r="G4" s="10">
        <f>COUNTIF('Task Progress'!H2:H101,"Completed")</f>
        <v>11</v>
      </c>
    </row>
    <row r="5" spans="1:12" ht="27.95" customHeight="1">
      <c r="A5" s="3" t="s">
        <v>47</v>
      </c>
      <c r="B5" s="7" t="s">
        <v>173</v>
      </c>
      <c r="F5" s="3" t="s">
        <v>48</v>
      </c>
      <c r="G5" s="10">
        <f>COUNTIF('Task Progress'!H2:H101,"In Progress")</f>
        <v>0</v>
      </c>
    </row>
    <row r="6" spans="1:12" ht="27.95" customHeight="1">
      <c r="A6" s="3" t="s">
        <v>49</v>
      </c>
      <c r="B6" s="7" t="s">
        <v>174</v>
      </c>
      <c r="F6" s="3" t="s">
        <v>50</v>
      </c>
      <c r="G6" s="10">
        <f>COUNTIF('Task Progress'!H2:H101,"Not Started")</f>
        <v>0</v>
      </c>
    </row>
    <row r="7" spans="1:12" ht="27.95" customHeight="1">
      <c r="A7" s="3" t="s">
        <v>51</v>
      </c>
      <c r="B7" s="7" t="s">
        <v>175</v>
      </c>
      <c r="F7" s="3" t="s">
        <v>52</v>
      </c>
      <c r="G7" s="10">
        <f>COUNTIF('Task Progress'!H2:H101,"Delayed")</f>
        <v>0</v>
      </c>
    </row>
    <row r="8" spans="1:12" ht="27.95" customHeight="1">
      <c r="A8" s="3" t="s">
        <v>53</v>
      </c>
      <c r="B8" s="7" t="s">
        <v>214</v>
      </c>
      <c r="F8" s="3" t="s">
        <v>54</v>
      </c>
      <c r="G8" s="10">
        <f>COUNTIF('Task Progress'!H2:H101,"Blocked")</f>
        <v>0</v>
      </c>
    </row>
    <row r="9" spans="1:12" ht="27.95" customHeight="1">
      <c r="A9" s="3" t="s">
        <v>55</v>
      </c>
      <c r="B9" s="7" t="s">
        <v>262</v>
      </c>
      <c r="F9" s="5" t="s">
        <v>56</v>
      </c>
      <c r="G9" s="11">
        <f ca="1">COUNTIF('Task Progress'!M2:M101,"Overdue")</f>
        <v>0</v>
      </c>
    </row>
    <row r="10" spans="1:12" ht="27.95" customHeight="1">
      <c r="A10" s="3" t="s">
        <v>57</v>
      </c>
      <c r="B10" s="7" t="s">
        <v>48</v>
      </c>
    </row>
    <row r="11" spans="1:12" ht="27.95" customHeight="1">
      <c r="A11" s="3" t="s">
        <v>58</v>
      </c>
      <c r="B11" s="8">
        <f>IFERROR(SUM('Task Progress'!I2:I101)/COUNTIF('Task Progress'!D2:D101,"&lt;&gt;")/100,0)</f>
        <v>0.91666666666666674</v>
      </c>
      <c r="F11" s="1" t="s">
        <v>59</v>
      </c>
      <c r="G11" s="2" t="s">
        <v>44</v>
      </c>
    </row>
    <row r="12" spans="1:12" ht="48" customHeight="1">
      <c r="A12" s="3" t="s">
        <v>60</v>
      </c>
      <c r="B12" s="7" t="s">
        <v>213</v>
      </c>
      <c r="F12" s="3" t="s">
        <v>61</v>
      </c>
      <c r="G12" s="10">
        <f>COUNTIF('Individual Contributions'!E3:E191,"?*")</f>
        <v>12</v>
      </c>
    </row>
    <row r="13" spans="1:12" ht="48" customHeight="1">
      <c r="A13" s="3" t="s">
        <v>62</v>
      </c>
      <c r="B13" s="7" t="s">
        <v>176</v>
      </c>
      <c r="F13" s="3" t="s">
        <v>63</v>
      </c>
      <c r="G13" s="10">
        <f>COUNTIFS('Individual Contributions'!E3:E191,"?*",'Individual Contributions'!J3:J191,"Yes")</f>
        <v>12</v>
      </c>
    </row>
    <row r="14" spans="1:12" ht="48" customHeight="1">
      <c r="A14" s="5" t="s">
        <v>64</v>
      </c>
      <c r="B14" s="9" t="s">
        <v>177</v>
      </c>
      <c r="F14" s="3" t="s">
        <v>65</v>
      </c>
      <c r="G14" s="10">
        <f>COUNTIFS('Individual Contributions'!E3:E191,"?*",'Individual Contributions'!J3:J191,"No")</f>
        <v>0</v>
      </c>
    </row>
    <row r="15" spans="1:12" ht="15">
      <c r="F15" s="5" t="s">
        <v>66</v>
      </c>
      <c r="G15" s="11">
        <f>COUNT('Stakeholder Engagement'!A3:A99)</f>
        <v>0</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workbookViewId="0">
      <selection activeCell="E23" sqref="E23"/>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30" customHeight="1">
      <c r="A1" s="29" t="s">
        <v>67</v>
      </c>
      <c r="B1" s="29"/>
      <c r="C1" s="29"/>
      <c r="D1" s="29"/>
      <c r="E1" s="29"/>
      <c r="F1" s="29"/>
      <c r="G1" s="29"/>
      <c r="H1" s="29"/>
      <c r="I1" s="29"/>
      <c r="J1" s="29"/>
      <c r="K1" s="29"/>
      <c r="L1" s="29"/>
      <c r="M1" s="29"/>
    </row>
    <row r="2" spans="1:13" ht="30">
      <c r="A2" s="1" t="s">
        <v>68</v>
      </c>
      <c r="B2" s="15" t="s">
        <v>69</v>
      </c>
      <c r="C2" s="15" t="s">
        <v>70</v>
      </c>
      <c r="D2" s="15" t="s">
        <v>71</v>
      </c>
      <c r="E2" s="15" t="s">
        <v>72</v>
      </c>
      <c r="F2" s="15" t="s">
        <v>73</v>
      </c>
      <c r="G2" s="15" t="s">
        <v>74</v>
      </c>
      <c r="H2" s="15" t="s">
        <v>75</v>
      </c>
      <c r="I2" s="15" t="s">
        <v>76</v>
      </c>
      <c r="J2" s="15" t="s">
        <v>77</v>
      </c>
      <c r="K2" s="15" t="s">
        <v>78</v>
      </c>
      <c r="L2" s="15" t="s">
        <v>79</v>
      </c>
      <c r="M2" s="2" t="s">
        <v>80</v>
      </c>
    </row>
    <row r="3" spans="1:13">
      <c r="A3" s="16" t="s">
        <v>81</v>
      </c>
      <c r="B3" s="12" t="s">
        <v>32</v>
      </c>
      <c r="C3" s="12" t="s">
        <v>82</v>
      </c>
      <c r="D3" s="12" t="s">
        <v>83</v>
      </c>
      <c r="E3" s="12"/>
      <c r="F3" s="13" t="s">
        <v>259</v>
      </c>
      <c r="G3" s="13" t="s">
        <v>200</v>
      </c>
      <c r="H3" s="12" t="s">
        <v>46</v>
      </c>
      <c r="I3" s="14">
        <v>100</v>
      </c>
      <c r="J3" s="12"/>
      <c r="K3" s="12" t="s">
        <v>180</v>
      </c>
      <c r="L3" s="12"/>
      <c r="M3" s="17" t="str">
        <f t="shared" ref="M3:M34" ca="1" si="0">IF(D3="","",IF(H3="Completed","Completed",IF(H3="Blocked","Blocked",IF(H3="Delayed","Delayed",IF(AND(G3&lt;&gt;"",G3&lt;TODAY(),H3&lt;&gt;"Completed"),"Overdue","On Track")))))</f>
        <v>Completed</v>
      </c>
    </row>
    <row r="4" spans="1:13">
      <c r="A4" s="16" t="s">
        <v>85</v>
      </c>
      <c r="B4" s="12" t="s">
        <v>32</v>
      </c>
      <c r="C4" s="12" t="s">
        <v>82</v>
      </c>
      <c r="D4" s="12" t="s">
        <v>86</v>
      </c>
      <c r="E4" s="12"/>
      <c r="F4" s="13" t="s">
        <v>190</v>
      </c>
      <c r="G4" s="13" t="s">
        <v>200</v>
      </c>
      <c r="H4" s="12" t="s">
        <v>46</v>
      </c>
      <c r="I4" s="14">
        <v>100</v>
      </c>
      <c r="J4" s="12"/>
      <c r="K4" s="12" t="s">
        <v>84</v>
      </c>
      <c r="L4" s="12"/>
      <c r="M4" s="17" t="str">
        <f t="shared" ca="1" si="0"/>
        <v>Completed</v>
      </c>
    </row>
    <row r="5" spans="1:13">
      <c r="A5" s="16" t="s">
        <v>87</v>
      </c>
      <c r="B5" s="12" t="s">
        <v>32</v>
      </c>
      <c r="C5" s="12" t="s">
        <v>82</v>
      </c>
      <c r="D5" s="12" t="s">
        <v>88</v>
      </c>
      <c r="E5" s="12"/>
      <c r="F5" s="13" t="s">
        <v>183</v>
      </c>
      <c r="G5" s="13" t="s">
        <v>200</v>
      </c>
      <c r="H5" s="12" t="s">
        <v>46</v>
      </c>
      <c r="I5" s="14">
        <v>100</v>
      </c>
      <c r="J5" s="12"/>
      <c r="K5" s="12" t="s">
        <v>84</v>
      </c>
      <c r="L5" s="12"/>
      <c r="M5" s="17" t="str">
        <f t="shared" ca="1" si="0"/>
        <v>Completed</v>
      </c>
    </row>
    <row r="6" spans="1:13">
      <c r="A6" s="16" t="s">
        <v>89</v>
      </c>
      <c r="B6" s="12" t="s">
        <v>32</v>
      </c>
      <c r="C6" s="12" t="s">
        <v>90</v>
      </c>
      <c r="D6" s="12" t="s">
        <v>91</v>
      </c>
      <c r="E6" s="12"/>
      <c r="F6" s="13" t="s">
        <v>183</v>
      </c>
      <c r="G6" s="13" t="s">
        <v>200</v>
      </c>
      <c r="H6" s="12" t="s">
        <v>46</v>
      </c>
      <c r="I6" s="14">
        <v>100</v>
      </c>
      <c r="J6" s="12"/>
      <c r="K6" s="12" t="s">
        <v>84</v>
      </c>
      <c r="L6" s="12"/>
      <c r="M6" s="17" t="str">
        <f t="shared" ca="1" si="0"/>
        <v>Completed</v>
      </c>
    </row>
    <row r="7" spans="1:13" ht="28.5">
      <c r="A7" s="16" t="s">
        <v>92</v>
      </c>
      <c r="B7" s="12" t="s">
        <v>32</v>
      </c>
      <c r="C7" s="12" t="s">
        <v>90</v>
      </c>
      <c r="D7" s="12" t="s">
        <v>93</v>
      </c>
      <c r="E7" s="12"/>
      <c r="F7" s="13" t="s">
        <v>199</v>
      </c>
      <c r="G7" s="13" t="s">
        <v>200</v>
      </c>
      <c r="H7" s="12" t="s">
        <v>46</v>
      </c>
      <c r="I7" s="14">
        <v>100</v>
      </c>
      <c r="J7" s="12"/>
      <c r="K7" s="12" t="s">
        <v>84</v>
      </c>
      <c r="L7" s="12"/>
      <c r="M7" s="17" t="str">
        <f t="shared" ca="1" si="0"/>
        <v>Completed</v>
      </c>
    </row>
    <row r="8" spans="1:13">
      <c r="A8" s="16" t="s">
        <v>94</v>
      </c>
      <c r="B8" s="12" t="s">
        <v>32</v>
      </c>
      <c r="C8" s="12" t="s">
        <v>95</v>
      </c>
      <c r="D8" s="12" t="s">
        <v>96</v>
      </c>
      <c r="E8" s="12"/>
      <c r="F8" s="13" t="s">
        <v>181</v>
      </c>
      <c r="G8" s="13" t="s">
        <v>200</v>
      </c>
      <c r="H8" s="12" t="s">
        <v>46</v>
      </c>
      <c r="I8" s="14">
        <v>100</v>
      </c>
      <c r="J8" s="12"/>
      <c r="K8" s="12" t="s">
        <v>84</v>
      </c>
      <c r="L8" s="12"/>
      <c r="M8" s="17" t="str">
        <f t="shared" ca="1" si="0"/>
        <v>Completed</v>
      </c>
    </row>
    <row r="9" spans="1:13">
      <c r="A9" s="16" t="s">
        <v>97</v>
      </c>
      <c r="B9" s="12" t="s">
        <v>32</v>
      </c>
      <c r="C9" s="12" t="s">
        <v>95</v>
      </c>
      <c r="D9" s="12" t="s">
        <v>98</v>
      </c>
      <c r="E9" s="12"/>
      <c r="F9" s="13" t="s">
        <v>200</v>
      </c>
      <c r="G9" s="13" t="s">
        <v>200</v>
      </c>
      <c r="H9" s="12" t="s">
        <v>46</v>
      </c>
      <c r="I9" s="14">
        <v>100</v>
      </c>
      <c r="J9" s="12"/>
      <c r="K9" s="12" t="s">
        <v>84</v>
      </c>
      <c r="L9" s="12"/>
      <c r="M9" s="17" t="str">
        <f t="shared" ca="1" si="0"/>
        <v>Completed</v>
      </c>
    </row>
    <row r="10" spans="1:13">
      <c r="A10" s="16" t="s">
        <v>99</v>
      </c>
      <c r="B10" s="12" t="s">
        <v>32</v>
      </c>
      <c r="C10" s="12" t="s">
        <v>95</v>
      </c>
      <c r="D10" s="12" t="s">
        <v>100</v>
      </c>
      <c r="E10" s="12"/>
      <c r="F10" s="13" t="s">
        <v>200</v>
      </c>
      <c r="G10" s="13" t="s">
        <v>200</v>
      </c>
      <c r="H10" s="12" t="s">
        <v>46</v>
      </c>
      <c r="I10" s="14">
        <v>100</v>
      </c>
      <c r="J10" s="12"/>
      <c r="K10" s="12" t="s">
        <v>84</v>
      </c>
      <c r="L10" s="12"/>
      <c r="M10" s="17" t="str">
        <f t="shared" ca="1" si="0"/>
        <v>Completed</v>
      </c>
    </row>
    <row r="11" spans="1:13">
      <c r="A11" s="16" t="s">
        <v>101</v>
      </c>
      <c r="B11" s="12" t="s">
        <v>32</v>
      </c>
      <c r="C11" s="12" t="s">
        <v>95</v>
      </c>
      <c r="D11" s="12" t="s">
        <v>102</v>
      </c>
      <c r="E11" s="12"/>
      <c r="F11" s="13" t="s">
        <v>200</v>
      </c>
      <c r="G11" s="13" t="s">
        <v>200</v>
      </c>
      <c r="H11" s="12" t="s">
        <v>46</v>
      </c>
      <c r="I11" s="14">
        <v>100</v>
      </c>
      <c r="J11" s="12"/>
      <c r="K11" s="12" t="s">
        <v>84</v>
      </c>
      <c r="L11" s="12"/>
      <c r="M11" s="17" t="str">
        <f t="shared" ca="1" si="0"/>
        <v>Completed</v>
      </c>
    </row>
    <row r="12" spans="1:13" ht="28.5">
      <c r="A12" s="16" t="s">
        <v>103</v>
      </c>
      <c r="B12" s="12" t="s">
        <v>32</v>
      </c>
      <c r="C12" s="12" t="s">
        <v>95</v>
      </c>
      <c r="D12" s="12" t="s">
        <v>104</v>
      </c>
      <c r="E12" s="12"/>
      <c r="F12" s="13" t="s">
        <v>200</v>
      </c>
      <c r="G12" s="13" t="s">
        <v>200</v>
      </c>
      <c r="H12" s="12" t="s">
        <v>46</v>
      </c>
      <c r="I12" s="14">
        <v>100</v>
      </c>
      <c r="J12" s="12"/>
      <c r="K12" s="12" t="s">
        <v>84</v>
      </c>
      <c r="L12" s="12"/>
      <c r="M12" s="17" t="str">
        <f t="shared" ca="1" si="0"/>
        <v>Completed</v>
      </c>
    </row>
    <row r="13" spans="1:13">
      <c r="A13" s="16" t="s">
        <v>105</v>
      </c>
      <c r="B13" s="12" t="s">
        <v>32</v>
      </c>
      <c r="C13" s="12" t="s">
        <v>95</v>
      </c>
      <c r="D13" s="12" t="s">
        <v>106</v>
      </c>
      <c r="E13" s="12"/>
      <c r="F13" s="13" t="s">
        <v>200</v>
      </c>
      <c r="G13" s="13" t="s">
        <v>200</v>
      </c>
      <c r="H13" s="12" t="s">
        <v>46</v>
      </c>
      <c r="I13" s="14">
        <v>100</v>
      </c>
      <c r="J13" s="12"/>
      <c r="K13" s="12" t="s">
        <v>84</v>
      </c>
      <c r="L13" s="12"/>
      <c r="M13" s="17" t="str">
        <f t="shared" ca="1" si="0"/>
        <v>Completed</v>
      </c>
    </row>
    <row r="14" spans="1:13">
      <c r="A14" s="16"/>
      <c r="B14" s="12"/>
      <c r="C14" s="12"/>
      <c r="D14" s="12"/>
      <c r="E14" s="12"/>
      <c r="F14" s="13"/>
      <c r="G14" s="13"/>
      <c r="H14" s="12"/>
      <c r="I14" s="14"/>
      <c r="J14" s="12"/>
      <c r="K14" s="12"/>
      <c r="L14" s="12"/>
      <c r="M14" s="17" t="str">
        <f t="shared" ca="1" si="0"/>
        <v/>
      </c>
    </row>
    <row r="15" spans="1:13">
      <c r="A15" s="16"/>
      <c r="B15" s="12"/>
      <c r="C15" s="12"/>
      <c r="D15" s="12"/>
      <c r="E15" s="12"/>
      <c r="F15" s="13"/>
      <c r="G15" s="13"/>
      <c r="H15" s="12"/>
      <c r="I15" s="14"/>
      <c r="J15" s="12"/>
      <c r="K15" s="12"/>
      <c r="L15" s="12"/>
      <c r="M15" s="17" t="str">
        <f t="shared" ca="1" si="0"/>
        <v/>
      </c>
    </row>
    <row r="16" spans="1:13">
      <c r="A16" s="16"/>
      <c r="B16" s="12"/>
      <c r="C16" s="12"/>
      <c r="D16" s="12"/>
      <c r="E16" s="12"/>
      <c r="F16" s="13"/>
      <c r="G16" s="13"/>
      <c r="H16" s="12"/>
      <c r="I16" s="14"/>
      <c r="J16" s="12"/>
      <c r="K16" s="12"/>
      <c r="L16" s="12"/>
      <c r="M16" s="17" t="str">
        <f t="shared" ca="1" si="0"/>
        <v/>
      </c>
    </row>
    <row r="17" spans="1:13">
      <c r="A17" s="16"/>
      <c r="B17" s="12"/>
      <c r="C17" s="12"/>
      <c r="D17" s="12"/>
      <c r="E17" s="12"/>
      <c r="F17" s="13"/>
      <c r="G17" s="13"/>
      <c r="H17" s="12"/>
      <c r="I17" s="14"/>
      <c r="J17" s="12"/>
      <c r="K17" s="12"/>
      <c r="L17" s="12"/>
      <c r="M17" s="17" t="str">
        <f t="shared" ca="1" si="0"/>
        <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phoneticPr fontId="6" type="noConversion"/>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101">
    <cfRule type="expression" dxfId="7" priority="5">
      <formula>M3="Overdue"</formula>
    </cfRule>
  </conditionalFormatting>
  <conditionalFormatting sqref="I3:I101">
    <cfRule type="dataBar" priority="6">
      <dataBar>
        <cfvo type="min"/>
        <cfvo type="max"/>
        <color rgb="FF1F5A94"/>
      </dataBar>
    </cfRule>
  </conditionalFormatting>
  <conditionalFormatting sqref="I3:I101">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1"/>
  <sheetViews>
    <sheetView topLeftCell="C1" workbookViewId="0">
      <selection activeCell="I28" sqref="I28"/>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29" t="s">
        <v>107</v>
      </c>
      <c r="B1" s="29"/>
      <c r="C1" s="29"/>
      <c r="D1" s="29"/>
      <c r="E1" s="29"/>
      <c r="F1" s="29"/>
      <c r="G1" s="29"/>
      <c r="H1" s="29"/>
      <c r="I1" s="29"/>
      <c r="J1" s="29"/>
      <c r="K1" s="29"/>
      <c r="L1" s="29"/>
    </row>
    <row r="2" spans="1:12" ht="30">
      <c r="A2" s="1" t="s">
        <v>108</v>
      </c>
      <c r="B2" s="15" t="s">
        <v>109</v>
      </c>
      <c r="C2" s="15" t="s">
        <v>69</v>
      </c>
      <c r="D2" s="15" t="s">
        <v>70</v>
      </c>
      <c r="E2" s="15" t="s">
        <v>110</v>
      </c>
      <c r="F2" s="15" t="s">
        <v>111</v>
      </c>
      <c r="G2" s="15" t="s">
        <v>112</v>
      </c>
      <c r="H2" s="15" t="s">
        <v>113</v>
      </c>
      <c r="I2" s="15" t="s">
        <v>77</v>
      </c>
      <c r="J2" s="15" t="s">
        <v>78</v>
      </c>
      <c r="K2" s="15" t="s">
        <v>114</v>
      </c>
      <c r="L2" s="2" t="s">
        <v>115</v>
      </c>
    </row>
    <row r="3" spans="1:12" ht="42.75">
      <c r="A3" s="16" t="s">
        <v>215</v>
      </c>
      <c r="B3" s="12">
        <v>216009568</v>
      </c>
      <c r="C3" s="12" t="s">
        <v>214</v>
      </c>
      <c r="D3" s="12" t="s">
        <v>82</v>
      </c>
      <c r="E3" s="12" t="s">
        <v>178</v>
      </c>
      <c r="F3" s="12" t="s">
        <v>179</v>
      </c>
      <c r="G3" s="13" t="s">
        <v>259</v>
      </c>
      <c r="H3" s="23">
        <v>1.5</v>
      </c>
      <c r="I3" s="12"/>
      <c r="J3" s="12" t="s">
        <v>180</v>
      </c>
      <c r="K3" s="13"/>
      <c r="L3" s="17"/>
    </row>
    <row r="4" spans="1:12" ht="28.5">
      <c r="A4" s="16" t="s">
        <v>224</v>
      </c>
      <c r="B4" s="12">
        <v>222020350</v>
      </c>
      <c r="C4" s="12" t="s">
        <v>214</v>
      </c>
      <c r="D4" s="12" t="s">
        <v>82</v>
      </c>
      <c r="E4" s="12" t="s">
        <v>189</v>
      </c>
      <c r="F4" s="12" t="s">
        <v>219</v>
      </c>
      <c r="G4" s="13" t="s">
        <v>190</v>
      </c>
      <c r="H4" s="23">
        <v>2</v>
      </c>
      <c r="I4" s="12"/>
      <c r="J4" s="12" t="s">
        <v>180</v>
      </c>
      <c r="K4" s="13"/>
      <c r="L4" s="17"/>
    </row>
    <row r="5" spans="1:12" ht="28.5">
      <c r="A5" s="16" t="s">
        <v>193</v>
      </c>
      <c r="B5" s="12"/>
      <c r="C5" s="12" t="s">
        <v>214</v>
      </c>
      <c r="D5" s="12" t="s">
        <v>82</v>
      </c>
      <c r="E5" s="12" t="s">
        <v>192</v>
      </c>
      <c r="F5" s="12" t="s">
        <v>220</v>
      </c>
      <c r="G5" s="13" t="s">
        <v>205</v>
      </c>
      <c r="H5" s="23">
        <v>5</v>
      </c>
      <c r="I5" s="12"/>
      <c r="J5" s="12" t="s">
        <v>180</v>
      </c>
      <c r="K5" s="13"/>
      <c r="L5" s="17" t="s">
        <v>184</v>
      </c>
    </row>
    <row r="6" spans="1:12">
      <c r="A6" s="16" t="s">
        <v>188</v>
      </c>
      <c r="B6" s="12">
        <v>223028212</v>
      </c>
      <c r="C6" s="12" t="s">
        <v>214</v>
      </c>
      <c r="D6" s="12" t="s">
        <v>90</v>
      </c>
      <c r="E6" s="12" t="s">
        <v>186</v>
      </c>
      <c r="F6" s="12" t="s">
        <v>218</v>
      </c>
      <c r="G6" s="13" t="s">
        <v>198</v>
      </c>
      <c r="H6" s="23">
        <v>2</v>
      </c>
      <c r="I6" s="12"/>
      <c r="J6" s="12" t="s">
        <v>180</v>
      </c>
      <c r="K6" s="13"/>
      <c r="L6" s="17" t="s">
        <v>184</v>
      </c>
    </row>
    <row r="7" spans="1:12" ht="42.75">
      <c r="A7" s="16" t="s">
        <v>193</v>
      </c>
      <c r="B7" s="12"/>
      <c r="C7" s="12" t="s">
        <v>214</v>
      </c>
      <c r="D7" s="12" t="s">
        <v>90</v>
      </c>
      <c r="E7" s="12" t="s">
        <v>221</v>
      </c>
      <c r="F7" s="12" t="s">
        <v>222</v>
      </c>
      <c r="G7" s="13" t="s">
        <v>199</v>
      </c>
      <c r="H7" s="23">
        <v>0.5</v>
      </c>
      <c r="I7" s="12"/>
      <c r="J7" s="12" t="s">
        <v>180</v>
      </c>
      <c r="K7" s="13"/>
      <c r="L7" s="17" t="s">
        <v>184</v>
      </c>
    </row>
    <row r="8" spans="1:12">
      <c r="A8" s="16" t="s">
        <v>193</v>
      </c>
      <c r="B8" s="12"/>
      <c r="C8" s="12" t="s">
        <v>214</v>
      </c>
      <c r="D8" s="12" t="s">
        <v>95</v>
      </c>
      <c r="E8" s="12" t="s">
        <v>217</v>
      </c>
      <c r="F8" s="12" t="s">
        <v>223</v>
      </c>
      <c r="G8" s="13" t="s">
        <v>181</v>
      </c>
      <c r="H8" s="23">
        <v>9</v>
      </c>
      <c r="I8" s="12"/>
      <c r="J8" s="12" t="s">
        <v>180</v>
      </c>
      <c r="K8" s="13"/>
      <c r="L8" s="17" t="s">
        <v>184</v>
      </c>
    </row>
    <row r="9" spans="1:12" ht="28.5">
      <c r="A9" s="16" t="s">
        <v>191</v>
      </c>
      <c r="B9" s="12">
        <v>222040802</v>
      </c>
      <c r="C9" s="12" t="s">
        <v>214</v>
      </c>
      <c r="D9" s="12" t="s">
        <v>95</v>
      </c>
      <c r="E9" s="12" t="s">
        <v>182</v>
      </c>
      <c r="F9" s="12" t="s">
        <v>216</v>
      </c>
      <c r="G9" s="13" t="s">
        <v>200</v>
      </c>
      <c r="H9" s="23">
        <v>5</v>
      </c>
      <c r="I9" s="12"/>
      <c r="J9" s="12" t="s">
        <v>180</v>
      </c>
      <c r="K9" s="13"/>
      <c r="L9" s="17" t="s">
        <v>184</v>
      </c>
    </row>
    <row r="10" spans="1:12">
      <c r="A10" s="16" t="s">
        <v>185</v>
      </c>
      <c r="B10" s="12">
        <v>222002417</v>
      </c>
      <c r="C10" s="12" t="s">
        <v>214</v>
      </c>
      <c r="D10" s="12" t="s">
        <v>95</v>
      </c>
      <c r="E10" s="12" t="s">
        <v>225</v>
      </c>
      <c r="F10" s="12" t="s">
        <v>226</v>
      </c>
      <c r="G10" s="13" t="s">
        <v>200</v>
      </c>
      <c r="H10" s="23">
        <v>0.5</v>
      </c>
      <c r="I10" s="12"/>
      <c r="J10" s="12" t="s">
        <v>180</v>
      </c>
      <c r="K10" s="13"/>
      <c r="L10" s="17" t="s">
        <v>184</v>
      </c>
    </row>
    <row r="11" spans="1:12" ht="42.75">
      <c r="A11" s="16" t="s">
        <v>185</v>
      </c>
      <c r="B11" s="12">
        <v>222002417</v>
      </c>
      <c r="C11" s="12" t="s">
        <v>214</v>
      </c>
      <c r="D11" s="12" t="s">
        <v>95</v>
      </c>
      <c r="E11" s="12" t="s">
        <v>194</v>
      </c>
      <c r="F11" s="12" t="s">
        <v>195</v>
      </c>
      <c r="G11" s="13" t="s">
        <v>200</v>
      </c>
      <c r="H11" s="23">
        <v>1</v>
      </c>
      <c r="I11" s="12"/>
      <c r="J11" s="12" t="s">
        <v>180</v>
      </c>
      <c r="K11" s="13"/>
      <c r="L11" s="17"/>
    </row>
    <row r="12" spans="1:12" ht="28.5">
      <c r="A12" s="16" t="s">
        <v>193</v>
      </c>
      <c r="B12" s="12"/>
      <c r="C12" s="12" t="s">
        <v>214</v>
      </c>
      <c r="D12" s="12" t="s">
        <v>95</v>
      </c>
      <c r="E12" s="12" t="s">
        <v>196</v>
      </c>
      <c r="F12" s="12" t="s">
        <v>197</v>
      </c>
      <c r="G12" s="13" t="s">
        <v>200</v>
      </c>
      <c r="H12" s="23">
        <v>3</v>
      </c>
      <c r="I12" s="12"/>
      <c r="J12" s="12" t="s">
        <v>180</v>
      </c>
      <c r="K12" s="13"/>
      <c r="L12" s="17"/>
    </row>
    <row r="13" spans="1:12">
      <c r="A13" s="16" t="s">
        <v>193</v>
      </c>
      <c r="B13" s="12"/>
      <c r="C13" s="12" t="s">
        <v>214</v>
      </c>
      <c r="D13" s="12" t="s">
        <v>95</v>
      </c>
      <c r="E13" s="12" t="s">
        <v>260</v>
      </c>
      <c r="F13" s="12" t="s">
        <v>261</v>
      </c>
      <c r="G13" s="13" t="s">
        <v>200</v>
      </c>
      <c r="H13" s="23">
        <v>1</v>
      </c>
      <c r="I13" s="12"/>
      <c r="J13" s="12" t="s">
        <v>180</v>
      </c>
      <c r="K13" s="13"/>
      <c r="L13" s="17"/>
    </row>
    <row r="14" spans="1:12">
      <c r="A14" s="16" t="s">
        <v>193</v>
      </c>
      <c r="B14" s="12"/>
      <c r="C14" s="12" t="s">
        <v>214</v>
      </c>
      <c r="D14" s="12" t="s">
        <v>95</v>
      </c>
      <c r="E14" s="12" t="s">
        <v>187</v>
      </c>
      <c r="F14" s="12" t="s">
        <v>263</v>
      </c>
      <c r="G14" s="13" t="s">
        <v>200</v>
      </c>
      <c r="H14" s="23">
        <v>2</v>
      </c>
      <c r="I14" s="12"/>
      <c r="J14" s="12" t="s">
        <v>180</v>
      </c>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8"/>
      <c r="B191" s="19"/>
      <c r="C191" s="19"/>
      <c r="D191" s="19"/>
      <c r="E191" s="19"/>
      <c r="F191" s="19"/>
      <c r="G191" s="20"/>
      <c r="H191" s="24"/>
      <c r="I191" s="19"/>
      <c r="J191" s="19"/>
      <c r="K191" s="20"/>
      <c r="L191" s="22"/>
    </row>
  </sheetData>
  <mergeCells count="1">
    <mergeCell ref="A1:L1"/>
  </mergeCells>
  <conditionalFormatting sqref="J3:J191">
    <cfRule type="expression" dxfId="6" priority="7">
      <formula>J3="Yes"</formula>
    </cfRule>
    <cfRule type="expression" dxfId="5" priority="8">
      <formula>J3="No"</formula>
    </cfRule>
  </conditionalFormatting>
  <dataValidations count="2">
    <dataValidation type="list" sqref="C3:C191" xr:uid="{00000000-0002-0000-0300-000000000000}">
      <formula1>"Unit 1 / Phase 1,Phase 2,Phase 3,Final"</formula1>
    </dataValidation>
    <dataValidation type="list" sqref="J3:J191"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99"/>
  <sheetViews>
    <sheetView workbookViewId="0">
      <selection activeCell="I3" sqref="I3"/>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30" customHeight="1">
      <c r="A1" s="29" t="s">
        <v>116</v>
      </c>
      <c r="B1" s="29"/>
      <c r="C1" s="29"/>
      <c r="D1" s="29"/>
      <c r="E1" s="29"/>
      <c r="F1" s="29"/>
      <c r="G1" s="29"/>
      <c r="H1" s="29"/>
      <c r="I1" s="29"/>
    </row>
    <row r="2" spans="1:9" ht="30">
      <c r="A2" s="1" t="s">
        <v>117</v>
      </c>
      <c r="B2" s="15" t="s">
        <v>69</v>
      </c>
      <c r="C2" s="15" t="s">
        <v>118</v>
      </c>
      <c r="D2" s="15" t="s">
        <v>3</v>
      </c>
      <c r="E2" s="15" t="s">
        <v>119</v>
      </c>
      <c r="F2" s="15" t="s">
        <v>120</v>
      </c>
      <c r="G2" s="15" t="s">
        <v>121</v>
      </c>
      <c r="H2" s="15" t="s">
        <v>122</v>
      </c>
      <c r="I2" s="2" t="s">
        <v>77</v>
      </c>
    </row>
    <row r="3" spans="1:9" ht="57">
      <c r="A3" s="25" t="s">
        <v>259</v>
      </c>
      <c r="B3" s="12" t="s">
        <v>214</v>
      </c>
      <c r="C3" s="12" t="s">
        <v>232</v>
      </c>
      <c r="D3" s="12" t="s">
        <v>227</v>
      </c>
      <c r="E3" s="12" t="s">
        <v>215</v>
      </c>
      <c r="F3" s="12" t="s">
        <v>228</v>
      </c>
      <c r="G3" s="12" t="s">
        <v>229</v>
      </c>
      <c r="H3" s="12" t="s">
        <v>230</v>
      </c>
      <c r="I3" s="17"/>
    </row>
    <row r="4" spans="1:9" ht="42.75">
      <c r="A4" s="25" t="s">
        <v>199</v>
      </c>
      <c r="B4" s="12" t="s">
        <v>231</v>
      </c>
      <c r="C4" s="12" t="s">
        <v>233</v>
      </c>
      <c r="D4" s="12" t="s">
        <v>234</v>
      </c>
      <c r="E4" s="12" t="s">
        <v>193</v>
      </c>
      <c r="F4" s="12" t="s">
        <v>235</v>
      </c>
      <c r="G4" s="12" t="s">
        <v>236</v>
      </c>
      <c r="H4" s="12" t="s">
        <v>237</v>
      </c>
      <c r="I4" s="17"/>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6"/>
      <c r="B99" s="19"/>
      <c r="C99" s="19"/>
      <c r="D99" s="19"/>
      <c r="E99" s="19"/>
      <c r="F99" s="19"/>
      <c r="G99" s="19"/>
      <c r="H99" s="19"/>
      <c r="I99" s="22"/>
    </row>
  </sheetData>
  <mergeCells count="1">
    <mergeCell ref="A1:I1"/>
  </mergeCells>
  <dataValidations count="2">
    <dataValidation type="list" sqref="B3:B99" xr:uid="{00000000-0002-0000-0400-000000000000}">
      <formula1>"Unit 1 / Phase 1,Phase 2,Phase 3,Final"</formula1>
    </dataValidation>
    <dataValidation type="list" sqref="C3:C99"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D14" sqref="D14"/>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30" customHeight="1">
      <c r="A1" s="29" t="s">
        <v>130</v>
      </c>
      <c r="B1" s="29"/>
      <c r="C1" s="29"/>
      <c r="D1" s="29"/>
      <c r="E1" s="29"/>
      <c r="F1" s="29"/>
    </row>
    <row r="3" spans="1:6" ht="15">
      <c r="A3" s="1" t="s">
        <v>131</v>
      </c>
      <c r="B3" s="2" t="s">
        <v>42</v>
      </c>
      <c r="D3" s="34" t="s">
        <v>132</v>
      </c>
      <c r="E3" s="35"/>
      <c r="F3" s="36"/>
    </row>
    <row r="4" spans="1:6" ht="15">
      <c r="A4" s="3" t="s">
        <v>53</v>
      </c>
      <c r="B4" s="7" t="s">
        <v>214</v>
      </c>
      <c r="D4" s="3" t="s">
        <v>133</v>
      </c>
      <c r="E4" s="27" t="s">
        <v>180</v>
      </c>
    </row>
    <row r="5" spans="1:6" ht="15">
      <c r="A5" s="3" t="s">
        <v>55</v>
      </c>
      <c r="B5" s="7" t="s">
        <v>262</v>
      </c>
      <c r="D5" s="3" t="s">
        <v>134</v>
      </c>
      <c r="E5" s="27" t="s">
        <v>180</v>
      </c>
    </row>
    <row r="6" spans="1:6" ht="15">
      <c r="A6" s="3" t="s">
        <v>135</v>
      </c>
      <c r="B6" s="7" t="s">
        <v>46</v>
      </c>
      <c r="D6" s="3" t="s">
        <v>136</v>
      </c>
      <c r="E6" s="27" t="s">
        <v>180</v>
      </c>
    </row>
    <row r="7" spans="1:6" ht="60" customHeight="1">
      <c r="A7" s="3" t="s">
        <v>137</v>
      </c>
      <c r="B7" s="7" t="s">
        <v>248</v>
      </c>
      <c r="D7" s="3" t="s">
        <v>138</v>
      </c>
      <c r="E7" s="27" t="s">
        <v>180</v>
      </c>
    </row>
    <row r="8" spans="1:6" ht="60" customHeight="1">
      <c r="A8" s="3" t="s">
        <v>139</v>
      </c>
      <c r="B8" s="7" t="s">
        <v>249</v>
      </c>
      <c r="D8" s="3" t="s">
        <v>140</v>
      </c>
      <c r="E8" s="27" t="s">
        <v>180</v>
      </c>
    </row>
    <row r="9" spans="1:6" ht="60" customHeight="1">
      <c r="A9" s="3" t="s">
        <v>141</v>
      </c>
      <c r="B9" s="7" t="s">
        <v>208</v>
      </c>
      <c r="D9" s="3" t="s">
        <v>142</v>
      </c>
      <c r="E9" s="27" t="s">
        <v>180</v>
      </c>
    </row>
    <row r="10" spans="1:6" ht="60" customHeight="1">
      <c r="A10" s="3" t="s">
        <v>143</v>
      </c>
      <c r="B10" s="7" t="s">
        <v>250</v>
      </c>
      <c r="D10" s="3" t="s">
        <v>144</v>
      </c>
      <c r="E10" s="27" t="s">
        <v>180</v>
      </c>
    </row>
    <row r="11" spans="1:6" ht="60" customHeight="1">
      <c r="A11" s="3" t="s">
        <v>145</v>
      </c>
      <c r="B11" s="7" t="s">
        <v>209</v>
      </c>
      <c r="D11" s="3" t="s">
        <v>146</v>
      </c>
      <c r="E11" s="27" t="s">
        <v>180</v>
      </c>
    </row>
    <row r="12" spans="1:6" ht="60" customHeight="1">
      <c r="A12" s="3" t="s">
        <v>147</v>
      </c>
      <c r="B12" s="7" t="s">
        <v>210</v>
      </c>
      <c r="D12" s="5" t="s">
        <v>148</v>
      </c>
      <c r="E12" s="28" t="s">
        <v>84</v>
      </c>
    </row>
    <row r="13" spans="1:6" ht="60" customHeight="1">
      <c r="A13" s="5" t="s">
        <v>149</v>
      </c>
      <c r="B13" s="9"/>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9"/>
  <sheetViews>
    <sheetView workbookViewId="0">
      <selection activeCell="B11" sqref="B11"/>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30" customHeight="1">
      <c r="A1" s="29" t="s">
        <v>123</v>
      </c>
      <c r="B1" s="29"/>
      <c r="C1" s="29"/>
      <c r="D1" s="29"/>
      <c r="E1" s="29"/>
      <c r="F1" s="29"/>
      <c r="G1" s="29"/>
      <c r="H1" s="29"/>
    </row>
    <row r="2" spans="1:8" ht="15">
      <c r="A2" s="1" t="s">
        <v>124</v>
      </c>
      <c r="B2" s="15" t="s">
        <v>69</v>
      </c>
      <c r="C2" s="15" t="s">
        <v>125</v>
      </c>
      <c r="D2" s="15" t="s">
        <v>126</v>
      </c>
      <c r="E2" s="15" t="s">
        <v>127</v>
      </c>
      <c r="F2" s="15" t="s">
        <v>128</v>
      </c>
      <c r="G2" s="15" t="s">
        <v>129</v>
      </c>
      <c r="H2" s="2" t="s">
        <v>75</v>
      </c>
    </row>
    <row r="3" spans="1:8" ht="42.75">
      <c r="A3" s="25" t="s">
        <v>198</v>
      </c>
      <c r="B3" s="12" t="s">
        <v>214</v>
      </c>
      <c r="C3" s="12" t="s">
        <v>238</v>
      </c>
      <c r="D3" s="12" t="s">
        <v>239</v>
      </c>
      <c r="E3" s="12" t="s">
        <v>240</v>
      </c>
      <c r="F3" s="12" t="s">
        <v>241</v>
      </c>
      <c r="G3" s="13"/>
      <c r="H3" s="17" t="s">
        <v>201</v>
      </c>
    </row>
    <row r="4" spans="1:8" ht="42.75">
      <c r="A4" s="25" t="s">
        <v>181</v>
      </c>
      <c r="B4" s="12" t="s">
        <v>214</v>
      </c>
      <c r="C4" s="12" t="s">
        <v>202</v>
      </c>
      <c r="D4" s="12" t="s">
        <v>203</v>
      </c>
      <c r="E4" s="12" t="s">
        <v>204</v>
      </c>
      <c r="F4" s="12" t="s">
        <v>185</v>
      </c>
      <c r="G4" s="13"/>
      <c r="H4" s="17" t="s">
        <v>201</v>
      </c>
    </row>
    <row r="5" spans="1:8" ht="42.75">
      <c r="A5" s="25" t="s">
        <v>200</v>
      </c>
      <c r="B5" s="12" t="s">
        <v>214</v>
      </c>
      <c r="C5" s="12" t="s">
        <v>206</v>
      </c>
      <c r="D5" s="12" t="s">
        <v>207</v>
      </c>
      <c r="E5" s="12" t="s">
        <v>242</v>
      </c>
      <c r="F5" s="12" t="s">
        <v>243</v>
      </c>
      <c r="G5" s="13"/>
      <c r="H5" s="17" t="s">
        <v>201</v>
      </c>
    </row>
    <row r="6" spans="1:8" ht="42.75">
      <c r="A6" s="25" t="s">
        <v>181</v>
      </c>
      <c r="B6" s="12" t="s">
        <v>214</v>
      </c>
      <c r="C6" s="12" t="s">
        <v>244</v>
      </c>
      <c r="D6" s="12" t="s">
        <v>245</v>
      </c>
      <c r="E6" s="12" t="s">
        <v>246</v>
      </c>
      <c r="F6" s="12" t="s">
        <v>247</v>
      </c>
      <c r="G6" s="13"/>
      <c r="H6" s="17" t="s">
        <v>201</v>
      </c>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6"/>
      <c r="B99" s="19"/>
      <c r="C99" s="19"/>
      <c r="D99" s="19"/>
      <c r="E99" s="19"/>
      <c r="F99" s="19"/>
      <c r="G99" s="20"/>
      <c r="H99" s="22"/>
    </row>
  </sheetData>
  <mergeCells count="1">
    <mergeCell ref="A1:H1"/>
  </mergeCells>
  <conditionalFormatting sqref="H3:H99">
    <cfRule type="expression" dxfId="4" priority="4">
      <formula>H3="Resolved"</formula>
    </cfRule>
    <cfRule type="expression" dxfId="3" priority="5">
      <formula>H3="In Progress"</formula>
    </cfRule>
    <cfRule type="expression" dxfId="2" priority="6">
      <formula>H3="Escalated"</formula>
    </cfRule>
  </conditionalFormatting>
  <dataValidations count="2">
    <dataValidation type="list" sqref="B3:B99" xr:uid="{00000000-0002-0000-0500-000000000000}">
      <formula1>"Unit 1 / Phase 1,Phase 2,Phase 3,Final"</formula1>
    </dataValidation>
    <dataValidation type="list" sqref="H3:H99" xr:uid="{00000000-0002-0000-0500-000001000000}">
      <formula1>"Open,In Progress,Resolved,Escalated"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B15" sqref="B15"/>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30" customHeight="1">
      <c r="A1" s="29" t="s">
        <v>29</v>
      </c>
      <c r="B1" s="29"/>
      <c r="C1" s="29"/>
      <c r="D1" s="29"/>
      <c r="E1" s="29"/>
      <c r="F1" s="29"/>
    </row>
    <row r="3" spans="1:6" ht="15">
      <c r="A3" s="1" t="s">
        <v>150</v>
      </c>
      <c r="B3" s="2" t="s">
        <v>42</v>
      </c>
      <c r="D3" s="34" t="s">
        <v>151</v>
      </c>
      <c r="E3" s="35"/>
      <c r="F3" s="36"/>
    </row>
    <row r="4" spans="1:6" ht="42" customHeight="1">
      <c r="A4" s="3" t="s">
        <v>53</v>
      </c>
      <c r="B4" s="7" t="s">
        <v>214</v>
      </c>
      <c r="D4" s="3" t="s">
        <v>152</v>
      </c>
      <c r="E4" s="4" t="s">
        <v>153</v>
      </c>
    </row>
    <row r="5" spans="1:6" ht="42" customHeight="1">
      <c r="A5" s="3" t="s">
        <v>47</v>
      </c>
      <c r="B5" s="7" t="s">
        <v>211</v>
      </c>
      <c r="D5" s="3" t="s">
        <v>154</v>
      </c>
      <c r="E5" s="4" t="s">
        <v>155</v>
      </c>
    </row>
    <row r="6" spans="1:6" ht="42" customHeight="1">
      <c r="A6" s="3" t="s">
        <v>156</v>
      </c>
      <c r="B6" s="7" t="s">
        <v>251</v>
      </c>
      <c r="D6" s="3" t="s">
        <v>157</v>
      </c>
      <c r="E6" s="4" t="s">
        <v>158</v>
      </c>
    </row>
    <row r="7" spans="1:6" ht="42" customHeight="1">
      <c r="A7" s="3" t="s">
        <v>159</v>
      </c>
      <c r="B7" s="7" t="s">
        <v>252</v>
      </c>
      <c r="D7" s="3" t="s">
        <v>160</v>
      </c>
      <c r="E7" s="4" t="s">
        <v>161</v>
      </c>
    </row>
    <row r="8" spans="1:6" ht="42" customHeight="1">
      <c r="A8" s="3" t="s">
        <v>162</v>
      </c>
      <c r="B8" s="7" t="s">
        <v>253</v>
      </c>
      <c r="D8" s="5" t="s">
        <v>163</v>
      </c>
      <c r="E8" s="6" t="s">
        <v>164</v>
      </c>
    </row>
    <row r="9" spans="1:6" ht="74.099999999999994" customHeight="1">
      <c r="A9" s="3" t="s">
        <v>165</v>
      </c>
      <c r="B9" s="7" t="s">
        <v>254</v>
      </c>
    </row>
    <row r="10" spans="1:6" ht="74.099999999999994" customHeight="1">
      <c r="A10" s="3" t="s">
        <v>166</v>
      </c>
      <c r="B10" s="7" t="s">
        <v>255</v>
      </c>
    </row>
    <row r="11" spans="1:6" ht="74.099999999999994" customHeight="1">
      <c r="A11" s="3" t="s">
        <v>167</v>
      </c>
      <c r="B11" s="7" t="s">
        <v>256</v>
      </c>
    </row>
    <row r="12" spans="1:6" ht="74.099999999999994" customHeight="1">
      <c r="A12" s="3" t="s">
        <v>168</v>
      </c>
      <c r="B12" s="7" t="s">
        <v>257</v>
      </c>
    </row>
    <row r="13" spans="1:6" ht="74.099999999999994" customHeight="1">
      <c r="A13" s="3" t="s">
        <v>169</v>
      </c>
      <c r="B13" s="7" t="s">
        <v>212</v>
      </c>
    </row>
    <row r="14" spans="1:6" ht="74.099999999999994" customHeight="1">
      <c r="A14" s="3" t="s">
        <v>170</v>
      </c>
      <c r="B14" s="7" t="s">
        <v>258</v>
      </c>
    </row>
    <row r="15" spans="1:6" ht="74.099999999999994" customHeight="1">
      <c r="A15" s="5" t="s">
        <v>171</v>
      </c>
      <c r="B15" s="9"/>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Phase Summary</vt:lpstr>
      <vt:lpstr>Challenges &amp; Actions</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2026-08-25T14:14:58Z</dcterms:created>
  <dcterms:modified xsi:type="dcterms:W3CDTF">2026-08-26T12:29:57Z</dcterms:modified>
</cp:coreProperties>
</file>