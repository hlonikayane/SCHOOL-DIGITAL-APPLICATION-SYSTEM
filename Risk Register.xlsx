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146\Downloads\"/>
    </mc:Choice>
  </mc:AlternateContent>
  <xr:revisionPtr revIDLastSave="0" documentId="8_{6D78005F-EAAF-4271-923B-F60F848B9645}" xr6:coauthVersionLast="47" xr6:coauthVersionMax="47" xr10:uidLastSave="{00000000-0000-0000-0000-000000000000}"/>
  <bookViews>
    <workbookView xWindow="-120" yWindow="-120" windowWidth="29040" windowHeight="15720" xr2:uid="{E6F94BCB-FE7B-473F-BE9C-5505117DB8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<sst xmlns="http://schemas.openxmlformats.org/spreadsheetml/2006/main" count="71" uniqueCount="58">
  <si>
    <t>Risk ID</t>
  </si>
  <si>
    <t>Risk statement</t>
  </si>
  <si>
    <t>Category</t>
  </si>
  <si>
    <t>Likelihood (1–3)</t>
  </si>
  <si>
    <t>Impact (1–3)</t>
  </si>
  <si>
    <t>Score</t>
  </si>
  <si>
    <t>Level</t>
  </si>
  <si>
    <t>Mitigation</t>
  </si>
  <si>
    <t>Contingency</t>
  </si>
  <si>
    <t>Risk owner</t>
  </si>
  <si>
    <t>Status</t>
  </si>
  <si>
    <t>Limited Supabase experience may delay backend integration</t>
  </si>
  <si>
    <t>Technical</t>
  </si>
  <si>
    <t>Assign specific learning tasks to the database designer and have them share the knowledge with the rest of the team</t>
  </si>
  <si>
    <t>Simplify the functions affected by the integration, such as using file storage before implementing advanced features</t>
  </si>
  <si>
    <t>GD Sekhula</t>
  </si>
  <si>
    <t>Monitoring</t>
  </si>
  <si>
    <t>Stakeholder may become unavailable for feedback</t>
  </si>
  <si>
    <t>Stakeholder</t>
  </si>
  <si>
    <t>Arrange key meetings and feedback dates early in the project</t>
  </si>
  <si>
    <t>Request written feedback via email and use previously confirmed requirements</t>
  </si>
  <si>
    <t>SM Nkosi</t>
  </si>
  <si>
    <t>Too many proposed functions may prevent the group from completing the prototype within the semester</t>
  </si>
  <si>
    <t>Scope</t>
  </si>
  <si>
    <t>Strictly prioritize the development of the "Must Have" functions</t>
  </si>
  <si>
    <t>Remove lower priority functions from the project scope</t>
  </si>
  <si>
    <t>TH Mosia</t>
  </si>
  <si>
    <t>A group member may not complete assigned tasks on time</t>
  </si>
  <si>
    <t>Team</t>
  </si>
  <si>
    <t>Allocate clear and specific tasks to each member with defined deadlines</t>
  </si>
  <si>
    <t>Reassign urgent tasks to another member and record the issue in the project progress tracker</t>
  </si>
  <si>
    <t>Open</t>
  </si>
  <si>
    <t>Development tasks may take longer than planned</t>
  </si>
  <si>
    <t>Schedule</t>
  </si>
  <si>
    <t>Create a detailed schedule with a realistic time estimate for each task</t>
  </si>
  <si>
    <t>Prioritize "Must Have" features and be ready to postpone "Should Have" features</t>
  </si>
  <si>
    <t>All Members</t>
  </si>
  <si>
    <t>Internet connectivity may be unreliable for team members</t>
  </si>
  <si>
    <t>Resource</t>
  </si>
  <si>
    <t>Ensure all team members have backup plans(e.g. use campus Wi-Fi or Mobile Data)</t>
  </si>
  <si>
    <t>Use a mobile hotspot as a backup for our PC</t>
  </si>
  <si>
    <t>L Kayane</t>
  </si>
  <si>
    <t>Data privacy or security oversight could expose personal information</t>
  </si>
  <si>
    <t>Data &amp; Security</t>
  </si>
  <si>
    <t>Implement and strictly enforce Supabase Row Level Security policies</t>
  </si>
  <si>
    <t>Notify the stakeholder immediately and restrict data access until the issue is resolved</t>
  </si>
  <si>
    <t>MN Matla</t>
  </si>
  <si>
    <t>Inadequate testing may lead to a prototype with unresolved bugs</t>
  </si>
  <si>
    <t>Quality</t>
  </si>
  <si>
    <t>Plan for a dedicated testing period in the Microsoft Project Schedule</t>
  </si>
  <si>
    <t>Postpone low priority features to create more time for testing bug fixes</t>
  </si>
  <si>
    <t>Users may struggle with lower digital literacy</t>
  </si>
  <si>
    <t>Operational</t>
  </si>
  <si>
    <t>Design the mobile app with a very simple guided user interface</t>
  </si>
  <si>
    <t>Create a short, easy-to-understand user guide for the app</t>
  </si>
  <si>
    <t>Compatibility issues with different Android versions</t>
  </si>
  <si>
    <t>Test the app on a range of Android emulators and physical devices covering the range API level (Android 8.0+)</t>
  </si>
  <si>
    <t>Provide support for the most common Android versions 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</si>
</sst>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&quot;#,##0;[Red]\-&quot;R&quot;#,##0"/>
  </numFmts>
  <fonts count="3">
    <font>
      <sz val="11"/>
      <color theme="1"/>
      <name val="Calibri"/>
      <family val="2"/>
      <scheme val="minor"/>
    </font>
    <font>
      <b/>
      <sz val="11"/>
      <color rgb="FF262626"/>
      <name val="Inherit"/>
    </font>
    <font>
      <sz val="11"/>
      <color rgb="FF262626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 style="medium">
        <color rgb="FFCDCDCD"/>
      </bottom>
      <diagonal/>
    </border>
    <border>
      <left style="medium">
        <color rgb="FFCDCDCD"/>
      </left>
      <right style="medium">
        <color rgb="FFCDCDCD"/>
      </right>
      <top/>
      <bottom/>
      <diagonal/>
    </border>
    <border>
      <left style="medium">
        <color rgb="FFCDCDCD"/>
      </left>
      <right style="medium">
        <color rgb="FFCDCDCD"/>
      </right>
      <top/>
      <bottom style="medium">
        <color rgb="FFCDCDCD"/>
      </bottom>
      <diagonal/>
    </border>
    <border>
      <left/>
      <right style="medium">
        <color rgb="FFCDCDCD"/>
      </right>
      <top style="medium">
        <color rgb="FFCDCDCD"/>
      </top>
      <bottom style="medium">
        <color rgb="FFCDCDCD"/>
      </bottom>
      <diagonal/>
    </border>
    <border>
      <left/>
      <right style="medium">
        <color rgb="FFCDCDCD"/>
      </right>
      <top/>
      <bottom/>
      <diagonal/>
    </border>
    <border>
      <left style="medium">
        <color rgb="FFCDCDCD"/>
      </left>
      <right/>
      <top style="medium">
        <color rgb="FFCDCDCD"/>
      </top>
      <bottom style="medium">
        <color rgb="FFCDCDCD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CDCDCD"/>
      </left>
      <right/>
      <top/>
      <bottom style="medium">
        <color rgb="FFCDCDCD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1" fontId="2" fillId="2" borderId="1" xfId="0" applyNumberFormat="1" applyFont="1" applyFill="1" applyBorder="1" applyAlignment="1">
      <alignment vertical="center" wrapText="1"/>
    </xf>
    <xf numFmtId="1" fontId="2" fillId="2" borderId="2" xfId="0" applyNumberFormat="1" applyFont="1" applyFill="1" applyBorder="1" applyAlignment="1">
      <alignment vertical="center" wrapText="1"/>
    </xf>
    <xf numFmtId="1" fontId="0" fillId="0" borderId="0" xfId="0" applyNumberFormat="1"/>
    <xf numFmtId="0" fontId="2" fillId="2" borderId="1" xfId="0" quotePrefix="1" applyNumberFormat="1" applyFont="1" applyFill="1" applyBorder="1" applyAlignment="1">
      <alignment vertical="center" wrapText="1"/>
    </xf>
    <xf numFmtId="6" fontId="2" fillId="2" borderId="4" xfId="0" applyNumberFormat="1" applyFont="1" applyFill="1" applyBorder="1" applyAlignment="1">
      <alignment horizontal="center" vertical="center" wrapText="1"/>
    </xf>
    <xf numFmtId="6" fontId="2" fillId="2" borderId="5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Inherit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DCDCD"/>
        </left>
        <right style="medium">
          <color rgb="FFCDCDC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Inherit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Inherit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DCDCD"/>
        </left>
        <right/>
        <top style="medium">
          <color rgb="FFCDCDCD"/>
        </top>
        <bottom style="medium">
          <color rgb="FFCDCDC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Inherit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DCDCD"/>
        </left>
        <right style="medium">
          <color rgb="FFCDCDCD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Inherit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DCDCD"/>
        </left>
        <right style="medium">
          <color rgb="FFCDCDCD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Inherit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DCDCD"/>
        </left>
        <right style="medium">
          <color rgb="FFCDCDCD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Inherit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DCDCD"/>
        </left>
        <right style="medium">
          <color rgb="FFCDCDCD"/>
        </right>
        <top style="medium">
          <color rgb="FFCDCDCD"/>
        </top>
        <bottom style="medium">
          <color rgb="FFCDCDC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Inherit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DCDCD"/>
        </left>
        <right style="medium">
          <color rgb="FFCDCDCD"/>
        </right>
        <top style="medium">
          <color rgb="FFCDCDCD"/>
        </top>
        <bottom style="medium">
          <color rgb="FFCDCDC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Inherit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DCDCD"/>
        </left>
        <right style="medium">
          <color rgb="FFCDCDCD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Inherit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DCDCD"/>
        </left>
        <right style="medium">
          <color rgb="FFCDCDCD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Inherit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DCDCD"/>
        </left>
        <right style="medium">
          <color rgb="FFCDCDCD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Inherit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DCDCD"/>
        </left>
        <right style="medium">
          <color rgb="FFCDCDCD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Inherit"/>
        <scheme val="none"/>
      </font>
      <numFmt numFmtId="10" formatCode="&quot;R&quot;#,##0;[Red]\-&quot;R&quot;#,##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rgb="FFCDCDCD"/>
        </right>
        <top/>
        <bottom/>
        <vertical/>
        <horizontal/>
      </border>
    </dxf>
    <dxf>
      <border outline="0">
        <bottom style="medium">
          <color rgb="FFCDCDCD"/>
        </bottom>
      </border>
    </dxf>
    <dxf>
      <border outline="0">
        <left style="medium">
          <color rgb="FFCDCDCD"/>
        </left>
        <right style="medium">
          <color rgb="FFCDCDCD"/>
        </right>
        <top style="medium">
          <color rgb="FFCDCDCD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B61899-AC33-4D09-89E0-EFB916078D29}" name="Table2" displayName="Table2" ref="A1:K11" totalsRowShown="0" headerRowDxfId="0" dataDxfId="1" headerRowBorderDxfId="13" tableBorderDxfId="14">
  <autoFilter ref="A1:K11" xr:uid="{37B61899-AC33-4D09-89E0-EFB916078D29}"/>
  <tableColumns count="11">
    <tableColumn id="1" xr3:uid="{C2D49B23-2F07-4CBE-BB6F-A3AE69490F2D}" name="Risk ID" dataDxfId="12"/>
    <tableColumn id="2" xr3:uid="{CFD54C0E-94B9-4866-A1A3-A17A007010B8}" name="Risk statement" dataDxfId="11"/>
    <tableColumn id="3" xr3:uid="{E7315AAE-1C70-4488-87E2-9952C73A7E2B}" name="Category" dataDxfId="10"/>
    <tableColumn id="4" xr3:uid="{9EDAC6ED-641E-44E0-B5FD-B8C303FFCCDC}" name="Likelihood (1–3)" dataDxfId="9"/>
    <tableColumn id="5" xr3:uid="{8C256AA2-EA13-46DE-94F1-0FF995B91FB3}" name="Impact (1–3)" dataDxfId="8"/>
    <tableColumn id="6" xr3:uid="{AE139270-236F-4826-A7E5-E2CACEC5B781}" name="Score" dataDxfId="7">
      <calculatedColumnFormula>D2*E2</calculatedColumnFormula>
    </tableColumn>
    <tableColumn id="7" xr3:uid="{EFACD7D5-3CED-4E6B-BAE3-7C3E6507FE84}" name="Level" dataDxfId="6">
      <calculatedColumnFormula>IF(F2&lt;=3, "Low", IF(F2&lt;=6, "Medium", IF(F2&lt;=9, "High", "Out of Range")))</calculatedColumnFormula>
    </tableColumn>
    <tableColumn id="8" xr3:uid="{9AE44F1F-69F8-4E91-88BB-CC07C6F22B32}" name="Mitigation" dataDxfId="5"/>
    <tableColumn id="9" xr3:uid="{DDE684A3-498E-4CEE-AECF-48144A513D87}" name="Contingency" dataDxfId="4"/>
    <tableColumn id="10" xr3:uid="{B6CD5DEB-D2AD-47BF-862D-6DB0A0365BF0}" name="Risk owner" dataDxfId="3"/>
    <tableColumn id="11" xr3:uid="{CE7FC5FC-2C13-45F1-903E-54DBA5E72933}" name="Status" dataDxfId="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AA96F-DEF5-4D6E-AF0B-A0E2A163D9BD}">
  <dimension ref="A1:K13"/>
  <sheetViews>
    <sheetView tabSelected="1" topLeftCell="A7" zoomScaleNormal="100" workbookViewId="0">
      <selection activeCell="O4" sqref="O4"/>
    </sheetView>
  </sheetViews>
  <sheetFormatPr defaultRowHeight="15"/>
  <cols>
    <col min="1" max="1" width="13.140625" customWidth="1"/>
    <col min="2" max="2" width="27.140625" customWidth="1"/>
    <col min="3" max="3" width="19.5703125" customWidth="1"/>
    <col min="4" max="4" width="20.28515625" customWidth="1"/>
    <col min="5" max="5" width="16.140625" customWidth="1"/>
    <col min="6" max="6" width="11.42578125" customWidth="1"/>
    <col min="7" max="7" width="12" customWidth="1"/>
    <col min="8" max="8" width="15" customWidth="1"/>
    <col min="9" max="9" width="17" customWidth="1"/>
    <col min="10" max="10" width="18" customWidth="1"/>
    <col min="11" max="11" width="11.42578125" customWidth="1"/>
  </cols>
  <sheetData>
    <row r="1" spans="1:11" ht="15.75" thickBot="1">
      <c r="A1" s="1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2" t="s">
        <v>10</v>
      </c>
    </row>
    <row r="2" spans="1:11" ht="157.5" thickBot="1">
      <c r="A2" s="8">
        <v>1</v>
      </c>
      <c r="B2" s="1" t="s">
        <v>11</v>
      </c>
      <c r="C2" s="1" t="s">
        <v>12</v>
      </c>
      <c r="D2" s="4">
        <v>2</v>
      </c>
      <c r="E2" s="4">
        <v>3</v>
      </c>
      <c r="F2" s="4">
        <f>D2*E2</f>
        <v>6</v>
      </c>
      <c r="G2" s="7" t="str">
        <f>IF(F2&lt;=3, "Low", IF(F2&lt;=6, "Medium", IF(F2&lt;=9, "High", "Out of Range")))</f>
        <v>Medium</v>
      </c>
      <c r="H2" s="1" t="s">
        <v>13</v>
      </c>
      <c r="I2" s="1" t="s">
        <v>14</v>
      </c>
      <c r="J2" s="1" t="s">
        <v>15</v>
      </c>
      <c r="K2" s="10" t="s">
        <v>16</v>
      </c>
    </row>
    <row r="3" spans="1:11" ht="86.25" thickBot="1">
      <c r="A3" s="8">
        <v>2</v>
      </c>
      <c r="B3" s="1" t="s">
        <v>17</v>
      </c>
      <c r="C3" s="1" t="s">
        <v>18</v>
      </c>
      <c r="D3" s="4">
        <v>2</v>
      </c>
      <c r="E3" s="4">
        <v>1</v>
      </c>
      <c r="F3" s="4">
        <f t="shared" ref="F3:F13" si="0">D3*E3</f>
        <v>2</v>
      </c>
      <c r="G3" s="7" t="str">
        <f t="shared" ref="G3:G11" si="1">IF(F3&lt;=3, "Low", IF(F3&lt;=6, "Medium", IF(F3&lt;=9, "High", "Out of Range")))</f>
        <v>Low</v>
      </c>
      <c r="H3" s="1" t="s">
        <v>19</v>
      </c>
      <c r="I3" s="1" t="s">
        <v>20</v>
      </c>
      <c r="J3" s="1" t="s">
        <v>21</v>
      </c>
      <c r="K3" s="10" t="s">
        <v>16</v>
      </c>
    </row>
    <row r="4" spans="1:11" ht="86.25" thickBot="1">
      <c r="A4" s="8">
        <v>3</v>
      </c>
      <c r="B4" s="1" t="s">
        <v>22</v>
      </c>
      <c r="C4" s="1" t="s">
        <v>23</v>
      </c>
      <c r="D4" s="4">
        <v>3</v>
      </c>
      <c r="E4" s="4">
        <v>3</v>
      </c>
      <c r="F4" s="4">
        <f t="shared" si="0"/>
        <v>9</v>
      </c>
      <c r="G4" s="7" t="str">
        <f t="shared" si="1"/>
        <v>High</v>
      </c>
      <c r="H4" s="1" t="s">
        <v>24</v>
      </c>
      <c r="I4" s="1" t="s">
        <v>25</v>
      </c>
      <c r="J4" s="1" t="s">
        <v>26</v>
      </c>
      <c r="K4" s="10" t="s">
        <v>16</v>
      </c>
    </row>
    <row r="5" spans="1:11" ht="129" thickBot="1">
      <c r="A5" s="8">
        <v>4</v>
      </c>
      <c r="B5" s="1" t="s">
        <v>27</v>
      </c>
      <c r="C5" s="1" t="s">
        <v>28</v>
      </c>
      <c r="D5" s="4">
        <v>2</v>
      </c>
      <c r="E5" s="4">
        <v>3</v>
      </c>
      <c r="F5" s="4">
        <f t="shared" si="0"/>
        <v>6</v>
      </c>
      <c r="G5" s="7" t="str">
        <f t="shared" si="1"/>
        <v>Medium</v>
      </c>
      <c r="H5" s="1" t="s">
        <v>29</v>
      </c>
      <c r="I5" s="1" t="s">
        <v>30</v>
      </c>
      <c r="J5" s="1" t="s">
        <v>21</v>
      </c>
      <c r="K5" s="10" t="s">
        <v>31</v>
      </c>
    </row>
    <row r="6" spans="1:11" ht="100.5" thickBot="1">
      <c r="A6" s="8">
        <v>5</v>
      </c>
      <c r="B6" s="1" t="s">
        <v>32</v>
      </c>
      <c r="C6" s="1" t="s">
        <v>33</v>
      </c>
      <c r="D6" s="4">
        <v>2</v>
      </c>
      <c r="E6" s="4">
        <v>3</v>
      </c>
      <c r="F6" s="4">
        <f t="shared" si="0"/>
        <v>6</v>
      </c>
      <c r="G6" s="7" t="str">
        <f t="shared" si="1"/>
        <v>Medium</v>
      </c>
      <c r="H6" s="1" t="s">
        <v>34</v>
      </c>
      <c r="I6" s="1" t="s">
        <v>35</v>
      </c>
      <c r="J6" s="1" t="s">
        <v>36</v>
      </c>
      <c r="K6" s="10" t="s">
        <v>31</v>
      </c>
    </row>
    <row r="7" spans="1:11" ht="114.75" thickBot="1">
      <c r="A7" s="9">
        <v>6</v>
      </c>
      <c r="B7" s="3" t="s">
        <v>37</v>
      </c>
      <c r="C7" s="3" t="s">
        <v>38</v>
      </c>
      <c r="D7" s="5">
        <v>1</v>
      </c>
      <c r="E7" s="5">
        <v>3</v>
      </c>
      <c r="F7" s="4">
        <f t="shared" si="0"/>
        <v>3</v>
      </c>
      <c r="G7" s="7" t="str">
        <f t="shared" si="1"/>
        <v>Low</v>
      </c>
      <c r="H7" s="3" t="s">
        <v>39</v>
      </c>
      <c r="I7" s="3" t="s">
        <v>40</v>
      </c>
      <c r="J7" s="3" t="s">
        <v>41</v>
      </c>
      <c r="K7" s="10" t="s">
        <v>16</v>
      </c>
    </row>
    <row r="8" spans="1:11" ht="100.5" thickBot="1">
      <c r="A8" s="9">
        <v>7</v>
      </c>
      <c r="B8" s="3" t="s">
        <v>42</v>
      </c>
      <c r="C8" s="3" t="s">
        <v>43</v>
      </c>
      <c r="D8" s="5">
        <v>2</v>
      </c>
      <c r="E8" s="5">
        <v>3</v>
      </c>
      <c r="F8" s="4">
        <f t="shared" si="0"/>
        <v>6</v>
      </c>
      <c r="G8" s="7" t="str">
        <f t="shared" si="1"/>
        <v>Medium</v>
      </c>
      <c r="H8" s="3" t="s">
        <v>44</v>
      </c>
      <c r="I8" s="3" t="s">
        <v>45</v>
      </c>
      <c r="J8" s="3" t="s">
        <v>46</v>
      </c>
      <c r="K8" s="10" t="s">
        <v>16</v>
      </c>
    </row>
    <row r="9" spans="1:11" ht="100.5" thickBot="1">
      <c r="A9" s="9">
        <v>8</v>
      </c>
      <c r="B9" s="3" t="s">
        <v>47</v>
      </c>
      <c r="C9" s="3" t="s">
        <v>48</v>
      </c>
      <c r="D9" s="5">
        <v>2</v>
      </c>
      <c r="E9" s="5">
        <v>2</v>
      </c>
      <c r="F9" s="4">
        <f t="shared" si="0"/>
        <v>4</v>
      </c>
      <c r="G9" s="7" t="str">
        <f t="shared" si="1"/>
        <v>Medium</v>
      </c>
      <c r="H9" s="3" t="s">
        <v>49</v>
      </c>
      <c r="I9" s="3" t="s">
        <v>50</v>
      </c>
      <c r="J9" s="3" t="s">
        <v>15</v>
      </c>
      <c r="K9" s="10" t="s">
        <v>16</v>
      </c>
    </row>
    <row r="10" spans="1:11" ht="86.25" thickBot="1">
      <c r="A10" s="9">
        <v>9</v>
      </c>
      <c r="B10" s="3" t="s">
        <v>51</v>
      </c>
      <c r="C10" s="3" t="s">
        <v>52</v>
      </c>
      <c r="D10" s="5">
        <v>2</v>
      </c>
      <c r="E10" s="5">
        <v>2</v>
      </c>
      <c r="F10" s="4">
        <f t="shared" si="0"/>
        <v>4</v>
      </c>
      <c r="G10" s="7" t="str">
        <f t="shared" si="1"/>
        <v>Medium</v>
      </c>
      <c r="H10" s="3" t="s">
        <v>53</v>
      </c>
      <c r="I10" s="3" t="s">
        <v>54</v>
      </c>
      <c r="J10" s="3" t="s">
        <v>41</v>
      </c>
      <c r="K10" s="10" t="s">
        <v>16</v>
      </c>
    </row>
    <row r="11" spans="1:11" ht="143.25" thickBot="1">
      <c r="A11" s="9">
        <v>10</v>
      </c>
      <c r="B11" s="3" t="s">
        <v>55</v>
      </c>
      <c r="C11" s="3" t="s">
        <v>12</v>
      </c>
      <c r="D11" s="5">
        <v>2</v>
      </c>
      <c r="E11" s="5">
        <v>2</v>
      </c>
      <c r="F11" s="4">
        <f t="shared" si="0"/>
        <v>4</v>
      </c>
      <c r="G11" s="7" t="str">
        <f t="shared" si="1"/>
        <v>Medium</v>
      </c>
      <c r="H11" s="3" t="s">
        <v>56</v>
      </c>
      <c r="I11" s="3" t="s">
        <v>57</v>
      </c>
      <c r="J11" s="3" t="s">
        <v>46</v>
      </c>
      <c r="K11" s="10" t="s">
        <v>16</v>
      </c>
    </row>
    <row r="12" spans="1:11" ht="15.75" thickBot="1">
      <c r="D12" s="6"/>
      <c r="E12" s="6"/>
      <c r="F12" s="1"/>
      <c r="K12" s="1"/>
    </row>
    <row r="13" spans="1:11" ht="15.75" thickBot="1">
      <c r="F13" s="1"/>
      <c r="K13" s="1"/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lab131</dc:creator>
  <cp:lastModifiedBy>lab146</cp:lastModifiedBy>
  <dcterms:created xsi:type="dcterms:W3CDTF">2026-08-28T08:56:48Z</dcterms:created>
  <dcterms:modified xsi:type="dcterms:W3CDTF">2026-08-28T10:22:35Z</dcterms:modified>
</cp:coreProperties>
</file>